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02791\Desktop\"/>
    </mc:Choice>
  </mc:AlternateContent>
  <bookViews>
    <workbookView xWindow="0" yWindow="0" windowWidth="23040" windowHeight="9804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7" i="1" l="1"/>
  <c r="E8" i="1"/>
  <c r="E4" i="1"/>
  <c r="E9" i="1"/>
  <c r="E10" i="1"/>
  <c r="E11" i="1"/>
  <c r="E12" i="1"/>
  <c r="E5" i="1"/>
  <c r="E6" i="1"/>
  <c r="E2" i="1"/>
</calcChain>
</file>

<file path=xl/sharedStrings.xml><?xml version="1.0" encoding="utf-8"?>
<sst xmlns="http://schemas.openxmlformats.org/spreadsheetml/2006/main" count="64" uniqueCount="35">
  <si>
    <t>化學品</t>
    <phoneticPr fontId="1" type="noConversion"/>
  </si>
  <si>
    <t>法規管制量</t>
    <phoneticPr fontId="1" type="noConversion"/>
  </si>
  <si>
    <t>3月</t>
    <phoneticPr fontId="1" type="noConversion"/>
  </si>
  <si>
    <t>目前庫存量</t>
    <phoneticPr fontId="1" type="noConversion"/>
  </si>
  <si>
    <t>建議最大庫存量</t>
    <phoneticPr fontId="1" type="noConversion"/>
  </si>
  <si>
    <t>係數</t>
    <phoneticPr fontId="1" type="noConversion"/>
  </si>
  <si>
    <t>廠區</t>
    <phoneticPr fontId="1" type="noConversion"/>
  </si>
  <si>
    <t>J3</t>
    <phoneticPr fontId="1" type="noConversion"/>
  </si>
  <si>
    <t>J2</t>
    <phoneticPr fontId="1" type="noConversion"/>
  </si>
  <si>
    <t>超級柴油</t>
    <phoneticPr fontId="1" type="noConversion"/>
  </si>
  <si>
    <t>IP-100</t>
    <phoneticPr fontId="1" type="noConversion"/>
  </si>
  <si>
    <t>乙醇</t>
    <phoneticPr fontId="1" type="noConversion"/>
  </si>
  <si>
    <t>TEX系列網版印刷油墨</t>
  </si>
  <si>
    <t>TEX硬化劑網版印刷油墨用硬化劑</t>
  </si>
  <si>
    <t>SOLVENT油墨溶劑</t>
  </si>
  <si>
    <t>MOBIL VELOCITE OIL NO. 3</t>
  </si>
  <si>
    <t>BE洗版劑</t>
  </si>
  <si>
    <t>年分</t>
    <phoneticPr fontId="1" type="noConversion"/>
  </si>
  <si>
    <t>月份</t>
    <phoneticPr fontId="1" type="noConversion"/>
  </si>
  <si>
    <t>TA-148S</t>
    <phoneticPr fontId="3" type="noConversion"/>
  </si>
  <si>
    <t>J2</t>
    <phoneticPr fontId="1" type="noConversion"/>
  </si>
  <si>
    <t>J1</t>
    <phoneticPr fontId="1" type="noConversion"/>
  </si>
  <si>
    <t>J1</t>
    <phoneticPr fontId="1" type="noConversion"/>
  </si>
  <si>
    <t>公共危險物品</t>
    <phoneticPr fontId="1" type="noConversion"/>
  </si>
  <si>
    <t>V</t>
    <phoneticPr fontId="1" type="noConversion"/>
  </si>
  <si>
    <t>SDS建表日期</t>
    <phoneticPr fontId="1" type="noConversion"/>
  </si>
  <si>
    <t>2024.03.11</t>
    <phoneticPr fontId="1" type="noConversion"/>
  </si>
  <si>
    <t>2025.06.17</t>
    <phoneticPr fontId="1" type="noConversion"/>
  </si>
  <si>
    <t>2020.10.11</t>
    <phoneticPr fontId="1" type="noConversion"/>
  </si>
  <si>
    <t>2023.07.06</t>
    <phoneticPr fontId="1" type="noConversion"/>
  </si>
  <si>
    <t>2020.11.30</t>
    <phoneticPr fontId="1" type="noConversion"/>
  </si>
  <si>
    <t>2026.03.12</t>
    <phoneticPr fontId="1" type="noConversion"/>
  </si>
  <si>
    <t>2026.01.01</t>
    <phoneticPr fontId="1" type="noConversion"/>
  </si>
  <si>
    <t>2007.11.10</t>
    <phoneticPr fontId="1" type="noConversion"/>
  </si>
  <si>
    <t>2024.12.21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</si>
</sst>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新細明體"/>
      <family val="1"/>
      <charset val="136"/>
      <scheme val="minor"/>
    </font>
    <font>
      <sz val="9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horizontal="right" vertical="center" wrapText="1"/>
    </xf>
    <xf numFmtId="0" fontId="2" fillId="0" borderId="1" xfId="0" applyFont="1" applyFill="1" applyBorder="1" applyAlignment="1">
      <alignment vertical="center" wrapText="1"/>
    </xf>
    <xf numFmtId="0" fontId="0" fillId="0" borderId="5" xfId="0" applyBorder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/>
    </xf>
    <xf numFmtId="0" fontId="4" fillId="2" borderId="6" xfId="0" applyFont="1" applyFill="1" applyBorder="1" applyAlignment="1">
      <alignment horizontal="center" vertical="center"/>
    </xf>
    <xf numFmtId="0" fontId="0" fillId="0" borderId="5" xfId="0" applyFill="1" applyBorder="1">
      <alignment vertical="center"/>
    </xf>
    <xf numFmtId="0" fontId="0" fillId="0" borderId="6" xfId="0" applyFill="1" applyBorder="1">
      <alignment vertical="center"/>
    </xf>
  </cellXfs>
  <cellStyles count="1">
    <cellStyle name="一般" xfId="0" builtinId="0"/>
  </cellStyles>
  <dxfs count="2">
    <dxf>
      <fill>
        <patternFill>
          <bgColor theme="7" tint="0.39994506668294322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H3" sqref="H3"/>
    </sheetView>
  </sheetViews>
  <sheetFormatPr defaultRowHeight="16.2" x14ac:dyDescent="0.3"/>
  <cols>
    <col min="1" max="1" width="18.6640625" customWidth="1"/>
    <col min="2" max="2" width="20" customWidth="1"/>
    <col min="3" max="3" width="17.77734375" bestFit="1" customWidth="1"/>
    <col min="4" max="4" width="17.5546875" customWidth="1"/>
    <col min="5" max="5" width="16.109375" customWidth="1"/>
    <col min="6" max="6" width="11" customWidth="1"/>
    <col min="7" max="7" width="11.33203125" customWidth="1"/>
    <col min="9" max="9" width="16.21875" customWidth="1"/>
    <col min="10" max="10" width="22.21875" customWidth="1"/>
  </cols>
  <sheetData>
    <row r="1" spans="1:10" x14ac:dyDescent="0.3">
      <c r="A1" s="7" t="s">
        <v>0</v>
      </c>
      <c r="B1" s="8" t="s">
        <v>1</v>
      </c>
      <c r="C1" s="8" t="s">
        <v>4</v>
      </c>
      <c r="D1" s="8" t="s">
        <v>3</v>
      </c>
      <c r="E1" s="8" t="s">
        <v>5</v>
      </c>
      <c r="F1" s="9" t="s">
        <v>6</v>
      </c>
      <c r="G1" s="10" t="s">
        <v>17</v>
      </c>
      <c r="H1" s="10" t="s">
        <v>18</v>
      </c>
      <c r="I1" s="13" t="s">
        <v>23</v>
      </c>
      <c r="J1" s="13" t="s">
        <v>25</v>
      </c>
    </row>
    <row r="2" spans="1:10" x14ac:dyDescent="0.3">
      <c r="A2" s="3" t="s">
        <v>9</v>
      </c>
      <c r="B2" s="3">
        <v>1000</v>
      </c>
      <c r="C2" s="4">
        <v>50</v>
      </c>
      <c r="D2" s="3">
        <v>19</v>
      </c>
      <c r="E2" s="2">
        <f t="shared" ref="E2:E12" si="0">IFERROR(D2/B2,"")</f>
        <v>1.9E-2</v>
      </c>
      <c r="F2" s="6" t="s">
        <v>22</v>
      </c>
      <c r="G2" s="1">
        <v>2026</v>
      </c>
      <c r="H2" s="1" t="s">
        <v>2</v>
      </c>
      <c r="I2" s="1" t="s">
        <v>24</v>
      </c>
      <c r="J2" s="15" t="s">
        <v>26</v>
      </c>
    </row>
    <row r="3" spans="1:10" x14ac:dyDescent="0.3">
      <c r="A3" s="3" t="s">
        <v>11</v>
      </c>
      <c r="B3" s="11">
        <v>400</v>
      </c>
      <c r="C3" s="4">
        <v>200</v>
      </c>
      <c r="D3" s="4">
        <v>60</v>
      </c>
      <c r="E3" s="2">
        <f t="shared" si="0"/>
        <v>0.15</v>
      </c>
      <c r="F3" s="14" t="s">
        <v>21</v>
      </c>
      <c r="G3" s="1">
        <v>2026</v>
      </c>
      <c r="H3" s="1" t="s">
        <v>2</v>
      </c>
      <c r="I3" s="1" t="s">
        <v>24</v>
      </c>
      <c r="J3" s="15" t="s">
        <v>27</v>
      </c>
    </row>
    <row r="4" spans="1:10" ht="32.4" x14ac:dyDescent="0.3">
      <c r="A4" s="3" t="s">
        <v>12</v>
      </c>
      <c r="B4" s="11">
        <v>1000</v>
      </c>
      <c r="C4" s="4">
        <v>10</v>
      </c>
      <c r="D4" s="11">
        <v>3</v>
      </c>
      <c r="E4" s="2">
        <f t="shared" si="0"/>
        <v>3.0000000000000001E-3</v>
      </c>
      <c r="F4" s="6" t="s">
        <v>8</v>
      </c>
      <c r="G4" s="1">
        <v>2026</v>
      </c>
      <c r="H4" s="1" t="s">
        <v>2</v>
      </c>
      <c r="I4" s="1" t="s">
        <v>24</v>
      </c>
      <c r="J4" s="15" t="s">
        <v>28</v>
      </c>
    </row>
    <row r="5" spans="1:10" x14ac:dyDescent="0.3">
      <c r="A5" s="5" t="s">
        <v>19</v>
      </c>
      <c r="B5" s="12"/>
      <c r="C5" s="12"/>
      <c r="D5" s="12">
        <v>23</v>
      </c>
      <c r="E5" s="2" t="str">
        <f t="shared" si="0"/>
        <v/>
      </c>
      <c r="F5" s="6" t="s">
        <v>8</v>
      </c>
      <c r="G5" s="1">
        <v>2026</v>
      </c>
      <c r="H5" s="1" t="s">
        <v>2</v>
      </c>
      <c r="I5" s="1"/>
      <c r="J5" s="15" t="s">
        <v>29</v>
      </c>
    </row>
    <row r="6" spans="1:10" x14ac:dyDescent="0.3">
      <c r="A6" s="3" t="s">
        <v>11</v>
      </c>
      <c r="B6" s="11">
        <v>400</v>
      </c>
      <c r="C6" s="4">
        <v>200</v>
      </c>
      <c r="D6" s="4">
        <v>500</v>
      </c>
      <c r="E6" s="2">
        <f t="shared" si="0"/>
        <v>1.25</v>
      </c>
      <c r="F6" s="14" t="s">
        <v>20</v>
      </c>
      <c r="G6" s="1">
        <v>2026</v>
      </c>
      <c r="H6" s="1" t="s">
        <v>2</v>
      </c>
      <c r="I6" s="1" t="s">
        <v>24</v>
      </c>
      <c r="J6" s="15" t="s">
        <v>29</v>
      </c>
    </row>
    <row r="7" spans="1:10" x14ac:dyDescent="0.3">
      <c r="A7" s="3" t="s">
        <v>10</v>
      </c>
      <c r="B7" s="11">
        <v>1000</v>
      </c>
      <c r="C7" s="4">
        <v>500</v>
      </c>
      <c r="D7" s="11">
        <v>400</v>
      </c>
      <c r="E7" s="2">
        <f t="shared" si="0"/>
        <v>0.4</v>
      </c>
      <c r="F7" s="6" t="s">
        <v>7</v>
      </c>
      <c r="G7" s="1">
        <v>2026</v>
      </c>
      <c r="H7" s="1" t="s">
        <v>2</v>
      </c>
      <c r="I7" s="1" t="s">
        <v>24</v>
      </c>
      <c r="J7" s="15" t="s">
        <v>29</v>
      </c>
    </row>
    <row r="8" spans="1:10" x14ac:dyDescent="0.3">
      <c r="A8" s="3" t="s">
        <v>11</v>
      </c>
      <c r="B8" s="11">
        <v>400</v>
      </c>
      <c r="C8" s="4">
        <v>75</v>
      </c>
      <c r="D8" s="11">
        <v>57</v>
      </c>
      <c r="E8" s="2">
        <f t="shared" si="0"/>
        <v>0.14249999999999999</v>
      </c>
      <c r="F8" s="6" t="s">
        <v>7</v>
      </c>
      <c r="G8" s="1">
        <v>2026</v>
      </c>
      <c r="H8" s="1" t="s">
        <v>2</v>
      </c>
      <c r="I8" s="1" t="s">
        <v>24</v>
      </c>
      <c r="J8" s="15" t="s">
        <v>30</v>
      </c>
    </row>
    <row r="9" spans="1:10" ht="32.4" x14ac:dyDescent="0.3">
      <c r="A9" s="3" t="s">
        <v>13</v>
      </c>
      <c r="B9" s="11">
        <v>1000</v>
      </c>
      <c r="C9" s="4">
        <v>10</v>
      </c>
      <c r="D9" s="11">
        <v>3</v>
      </c>
      <c r="E9" s="2">
        <f t="shared" si="0"/>
        <v>3.0000000000000001E-3</v>
      </c>
      <c r="F9" s="6" t="s">
        <v>7</v>
      </c>
      <c r="G9" s="1">
        <v>2026</v>
      </c>
      <c r="H9" s="1" t="s">
        <v>2</v>
      </c>
      <c r="I9" s="1" t="s">
        <v>24</v>
      </c>
      <c r="J9" s="15" t="s">
        <v>31</v>
      </c>
    </row>
    <row r="10" spans="1:10" ht="32.4" x14ac:dyDescent="0.3">
      <c r="A10" s="3" t="s">
        <v>14</v>
      </c>
      <c r="B10" s="11">
        <v>1000</v>
      </c>
      <c r="C10" s="4">
        <v>10</v>
      </c>
      <c r="D10" s="11">
        <v>4</v>
      </c>
      <c r="E10" s="2">
        <f t="shared" si="0"/>
        <v>4.0000000000000001E-3</v>
      </c>
      <c r="F10" s="1" t="s">
        <v>7</v>
      </c>
      <c r="G10" s="1">
        <v>2026</v>
      </c>
      <c r="H10" s="1" t="s">
        <v>2</v>
      </c>
      <c r="I10" s="1" t="s">
        <v>24</v>
      </c>
      <c r="J10" s="15" t="s">
        <v>32</v>
      </c>
    </row>
    <row r="11" spans="1:10" ht="32.4" x14ac:dyDescent="0.3">
      <c r="A11" s="3" t="s">
        <v>15</v>
      </c>
      <c r="B11" s="11">
        <v>2000</v>
      </c>
      <c r="C11" s="4">
        <v>400</v>
      </c>
      <c r="D11" s="11">
        <v>100</v>
      </c>
      <c r="E11" s="2">
        <f t="shared" si="0"/>
        <v>0.05</v>
      </c>
      <c r="F11" s="1" t="s">
        <v>7</v>
      </c>
      <c r="G11" s="1">
        <v>2026</v>
      </c>
      <c r="H11" s="1" t="s">
        <v>2</v>
      </c>
      <c r="I11" s="1" t="s">
        <v>24</v>
      </c>
      <c r="J11" s="15" t="s">
        <v>33</v>
      </c>
    </row>
    <row r="12" spans="1:10" x14ac:dyDescent="0.3">
      <c r="A12" s="3" t="s">
        <v>16</v>
      </c>
      <c r="B12" s="11">
        <v>1000</v>
      </c>
      <c r="C12" s="4">
        <v>30</v>
      </c>
      <c r="D12" s="11">
        <v>19</v>
      </c>
      <c r="E12" s="2">
        <f t="shared" si="0"/>
        <v>1.9E-2</v>
      </c>
      <c r="F12" s="1" t="s">
        <v>7</v>
      </c>
      <c r="G12" s="1">
        <v>2026</v>
      </c>
      <c r="H12" s="1" t="s">
        <v>2</v>
      </c>
      <c r="I12" s="1" t="s">
        <v>24</v>
      </c>
      <c r="J12" s="15" t="s">
        <v>34</v>
      </c>
    </row>
  </sheetData>
  <sortState ref="A2:I12">
    <sortCondition ref="F2:F12"/>
  </sortState>
  <phoneticPr fontId="1" type="noConversion"/>
  <conditionalFormatting sqref="A10">
    <cfRule type="expression" dxfId="1" priority="3">
      <formula>$C10="二廠"</formula>
    </cfRule>
    <cfRule type="expression" dxfId="0" priority="4">
      <formula>$C11="一廠"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台北兆利 Mgt 吳承勳</dc:creator>
  <cp:lastModifiedBy>台北兆利 Mgt 吳承勳</cp:lastModifiedBy>
  <dcterms:created xsi:type="dcterms:W3CDTF">2026-04-23T00:39:50Z</dcterms:created>
  <dcterms:modified xsi:type="dcterms:W3CDTF">2026-04-27T05:39:22Z</dcterms:modified>
</cp:coreProperties>
</file>